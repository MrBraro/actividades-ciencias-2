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<sst xmlns="http://schemas.openxmlformats.org/spreadsheetml/2006/main" count="13" uniqueCount="10">
  <si>
    <t>Datos (N)</t>
  </si>
  <si>
    <t>Hijos (m)</t>
  </si>
  <si>
    <t>Altura del arbol (h)</t>
  </si>
  <si>
    <t>comparaciones binarias</t>
  </si>
  <si>
    <t>Tiempo estimado de ejecucion (ms)</t>
  </si>
  <si>
    <t>Desperdicio ([m^h - 1] - N)</t>
  </si>
  <si>
    <t>La cantidad de hijos para la busqueda más optima es: 62 hijos</t>
  </si>
  <si>
    <t>NA</t>
  </si>
  <si>
    <t>Tiempo minimo de ejeuccion:</t>
  </si>
  <si>
    <t>Desperdicio minimo: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</si>
</sst>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8.63"/>
    <col customWidth="1" min="4" max="4" width="27.38"/>
    <col customWidth="1" min="5" max="5" width="20.5"/>
    <col customWidth="1" min="7" max="7" width="27.25"/>
    <col customWidth="1" min="9" max="9" width="16.13"/>
  </cols>
  <sheetData>
    <row r="1">
      <c r="A1" s="1" t="s">
        <v>0</v>
      </c>
      <c r="B1" s="2">
        <v>1.4735917E7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1" t="s">
        <v>5</v>
      </c>
      <c r="G2" s="4" t="s">
        <v>6</v>
      </c>
      <c r="H2" s="5"/>
      <c r="I2" s="5"/>
      <c r="J2" s="6"/>
    </row>
    <row r="3">
      <c r="A3" s="7">
        <v>1.0</v>
      </c>
      <c r="B3" s="7" t="s">
        <v>7</v>
      </c>
      <c r="C3" s="7" t="s">
        <v>7</v>
      </c>
      <c r="D3" s="7" t="s">
        <v>7</v>
      </c>
      <c r="E3" s="7" t="s">
        <v>7</v>
      </c>
      <c r="G3" s="8" t="s">
        <v>8</v>
      </c>
      <c r="H3" s="9">
        <f>MIN(D4:D72)</f>
        <v>24000</v>
      </c>
      <c r="I3" s="8" t="s">
        <v>9</v>
      </c>
      <c r="J3" s="9">
        <f>MIN(E4:E72)</f>
        <v>40418</v>
      </c>
    </row>
    <row r="4">
      <c r="A4" s="7">
        <v>2.0</v>
      </c>
      <c r="B4" s="10">
        <f t="shared" ref="B4:B72" si="1">ROUNDUP(LOG(14735917,A4 ),0)</f>
        <v>24</v>
      </c>
      <c r="C4" s="11">
        <f t="shared" ref="C4:C72" si="2">ROUNDUP(LOG(A4,2),0)</f>
        <v>1</v>
      </c>
      <c r="D4" s="11">
        <f t="shared" ref="D4:D72" si="3">B4*1000*C4</f>
        <v>24000</v>
      </c>
      <c r="E4" s="11">
        <f t="shared" ref="E4:E72" si="4">(POWER(A4, B4)-1)-14735917</f>
        <v>2041298</v>
      </c>
    </row>
    <row r="5">
      <c r="A5" s="7">
        <v>3.0</v>
      </c>
      <c r="B5" s="10">
        <f t="shared" si="1"/>
        <v>16</v>
      </c>
      <c r="C5" s="11">
        <f t="shared" si="2"/>
        <v>2</v>
      </c>
      <c r="D5" s="11">
        <f t="shared" si="3"/>
        <v>32000</v>
      </c>
      <c r="E5" s="11">
        <f t="shared" si="4"/>
        <v>28310803</v>
      </c>
    </row>
    <row r="6">
      <c r="A6" s="7">
        <v>4.0</v>
      </c>
      <c r="B6" s="10">
        <f t="shared" si="1"/>
        <v>12</v>
      </c>
      <c r="C6" s="11">
        <f t="shared" si="2"/>
        <v>2</v>
      </c>
      <c r="D6" s="11">
        <f t="shared" si="3"/>
        <v>24000</v>
      </c>
      <c r="E6" s="11">
        <f t="shared" si="4"/>
        <v>2041298</v>
      </c>
    </row>
    <row r="7">
      <c r="A7" s="7">
        <v>5.0</v>
      </c>
      <c r="B7" s="10">
        <f t="shared" si="1"/>
        <v>11</v>
      </c>
      <c r="C7" s="11">
        <f t="shared" si="2"/>
        <v>3</v>
      </c>
      <c r="D7" s="11">
        <f t="shared" si="3"/>
        <v>33000</v>
      </c>
      <c r="E7" s="11">
        <f t="shared" si="4"/>
        <v>34092207</v>
      </c>
    </row>
    <row r="8">
      <c r="A8" s="7">
        <v>6.0</v>
      </c>
      <c r="B8" s="10">
        <f t="shared" si="1"/>
        <v>10</v>
      </c>
      <c r="C8" s="11">
        <f t="shared" si="2"/>
        <v>3</v>
      </c>
      <c r="D8" s="11">
        <f t="shared" si="3"/>
        <v>30000</v>
      </c>
      <c r="E8" s="11">
        <f t="shared" si="4"/>
        <v>45730258</v>
      </c>
    </row>
    <row r="9">
      <c r="A9" s="7">
        <v>7.0</v>
      </c>
      <c r="B9" s="10">
        <f t="shared" si="1"/>
        <v>9</v>
      </c>
      <c r="C9" s="11">
        <f t="shared" si="2"/>
        <v>3</v>
      </c>
      <c r="D9" s="11">
        <f t="shared" si="3"/>
        <v>27000</v>
      </c>
      <c r="E9" s="11">
        <f t="shared" si="4"/>
        <v>25617689</v>
      </c>
    </row>
    <row r="10">
      <c r="A10" s="7">
        <v>8.0</v>
      </c>
      <c r="B10" s="10">
        <f t="shared" si="1"/>
        <v>8</v>
      </c>
      <c r="C10" s="11">
        <f t="shared" si="2"/>
        <v>3</v>
      </c>
      <c r="D10" s="11">
        <f t="shared" si="3"/>
        <v>24000</v>
      </c>
      <c r="E10" s="11">
        <f t="shared" si="4"/>
        <v>2041298</v>
      </c>
    </row>
    <row r="11">
      <c r="A11" s="7">
        <v>9.0</v>
      </c>
      <c r="B11" s="10">
        <f t="shared" si="1"/>
        <v>8</v>
      </c>
      <c r="C11" s="11">
        <f t="shared" si="2"/>
        <v>4</v>
      </c>
      <c r="D11" s="11">
        <f t="shared" si="3"/>
        <v>32000</v>
      </c>
      <c r="E11" s="11">
        <f t="shared" si="4"/>
        <v>28310803</v>
      </c>
    </row>
    <row r="12">
      <c r="A12" s="7">
        <v>10.0</v>
      </c>
      <c r="B12" s="10">
        <f t="shared" si="1"/>
        <v>8</v>
      </c>
      <c r="C12" s="11">
        <f t="shared" si="2"/>
        <v>4</v>
      </c>
      <c r="D12" s="11">
        <f t="shared" si="3"/>
        <v>32000</v>
      </c>
      <c r="E12" s="11">
        <f t="shared" si="4"/>
        <v>85264082</v>
      </c>
    </row>
    <row r="13">
      <c r="A13" s="7">
        <v>11.0</v>
      </c>
      <c r="B13" s="10">
        <f t="shared" si="1"/>
        <v>7</v>
      </c>
      <c r="C13" s="11">
        <f t="shared" si="2"/>
        <v>4</v>
      </c>
      <c r="D13" s="11">
        <f t="shared" si="3"/>
        <v>28000</v>
      </c>
      <c r="E13" s="11">
        <f t="shared" si="4"/>
        <v>4751253</v>
      </c>
    </row>
    <row r="14">
      <c r="A14" s="7">
        <v>12.0</v>
      </c>
      <c r="B14" s="10">
        <f t="shared" si="1"/>
        <v>7</v>
      </c>
      <c r="C14" s="11">
        <f t="shared" si="2"/>
        <v>4</v>
      </c>
      <c r="D14" s="11">
        <f t="shared" si="3"/>
        <v>28000</v>
      </c>
      <c r="E14" s="11">
        <f t="shared" si="4"/>
        <v>21095890</v>
      </c>
    </row>
    <row r="15">
      <c r="A15" s="7">
        <v>13.0</v>
      </c>
      <c r="B15" s="10">
        <f t="shared" si="1"/>
        <v>7</v>
      </c>
      <c r="C15" s="11">
        <f t="shared" si="2"/>
        <v>4</v>
      </c>
      <c r="D15" s="11">
        <f t="shared" si="3"/>
        <v>28000</v>
      </c>
      <c r="E15" s="11">
        <f t="shared" si="4"/>
        <v>48012599</v>
      </c>
    </row>
    <row r="16">
      <c r="A16" s="7">
        <v>14.0</v>
      </c>
      <c r="B16" s="10">
        <f t="shared" si="1"/>
        <v>7</v>
      </c>
      <c r="C16" s="11">
        <f t="shared" si="2"/>
        <v>4</v>
      </c>
      <c r="D16" s="11">
        <f t="shared" si="3"/>
        <v>28000</v>
      </c>
      <c r="E16" s="11">
        <f t="shared" si="4"/>
        <v>90677586</v>
      </c>
    </row>
    <row r="17">
      <c r="A17" s="7">
        <v>15.0</v>
      </c>
      <c r="B17" s="10">
        <f t="shared" si="1"/>
        <v>7</v>
      </c>
      <c r="C17" s="11">
        <f t="shared" si="2"/>
        <v>4</v>
      </c>
      <c r="D17" s="11">
        <f t="shared" si="3"/>
        <v>28000</v>
      </c>
      <c r="E17" s="11">
        <f t="shared" si="4"/>
        <v>156123457</v>
      </c>
    </row>
    <row r="18">
      <c r="A18" s="7">
        <v>16.0</v>
      </c>
      <c r="B18" s="10">
        <f t="shared" si="1"/>
        <v>6</v>
      </c>
      <c r="C18" s="11">
        <f t="shared" si="2"/>
        <v>4</v>
      </c>
      <c r="D18" s="11">
        <f t="shared" si="3"/>
        <v>24000</v>
      </c>
      <c r="E18" s="11">
        <f t="shared" si="4"/>
        <v>2041298</v>
      </c>
    </row>
    <row r="19">
      <c r="A19" s="7">
        <v>17.0</v>
      </c>
      <c r="B19" s="10">
        <f t="shared" si="1"/>
        <v>6</v>
      </c>
      <c r="C19" s="11">
        <f t="shared" si="2"/>
        <v>5</v>
      </c>
      <c r="D19" s="11">
        <f t="shared" si="3"/>
        <v>30000</v>
      </c>
      <c r="E19" s="11">
        <f t="shared" si="4"/>
        <v>9401651</v>
      </c>
    </row>
    <row r="20">
      <c r="A20" s="7">
        <v>18.0</v>
      </c>
      <c r="B20" s="10">
        <f t="shared" si="1"/>
        <v>6</v>
      </c>
      <c r="C20" s="11">
        <f t="shared" si="2"/>
        <v>5</v>
      </c>
      <c r="D20" s="11">
        <f t="shared" si="3"/>
        <v>30000</v>
      </c>
      <c r="E20" s="11">
        <f t="shared" si="4"/>
        <v>19276306</v>
      </c>
    </row>
    <row r="21">
      <c r="A21" s="7">
        <v>19.0</v>
      </c>
      <c r="B21" s="10">
        <f t="shared" si="1"/>
        <v>6</v>
      </c>
      <c r="C21" s="11">
        <f t="shared" si="2"/>
        <v>5</v>
      </c>
      <c r="D21" s="11">
        <f t="shared" si="3"/>
        <v>30000</v>
      </c>
      <c r="E21" s="11">
        <f t="shared" si="4"/>
        <v>32309963</v>
      </c>
    </row>
    <row r="22">
      <c r="A22" s="7">
        <v>20.0</v>
      </c>
      <c r="B22" s="10">
        <f t="shared" si="1"/>
        <v>6</v>
      </c>
      <c r="C22" s="11">
        <f t="shared" si="2"/>
        <v>5</v>
      </c>
      <c r="D22" s="11">
        <f t="shared" si="3"/>
        <v>30000</v>
      </c>
      <c r="E22" s="11">
        <f t="shared" si="4"/>
        <v>49264082</v>
      </c>
    </row>
    <row r="23">
      <c r="A23" s="7">
        <v>21.0</v>
      </c>
      <c r="B23" s="10">
        <f t="shared" si="1"/>
        <v>6</v>
      </c>
      <c r="C23" s="11">
        <f t="shared" si="2"/>
        <v>5</v>
      </c>
      <c r="D23" s="11">
        <f t="shared" si="3"/>
        <v>30000</v>
      </c>
      <c r="E23" s="11">
        <f t="shared" si="4"/>
        <v>71030203</v>
      </c>
    </row>
    <row r="24">
      <c r="A24" s="7">
        <v>22.0</v>
      </c>
      <c r="B24" s="10">
        <f t="shared" si="1"/>
        <v>6</v>
      </c>
      <c r="C24" s="11">
        <f t="shared" si="2"/>
        <v>5</v>
      </c>
      <c r="D24" s="11">
        <f t="shared" si="3"/>
        <v>30000</v>
      </c>
      <c r="E24" s="11">
        <f t="shared" si="4"/>
        <v>98643986</v>
      </c>
    </row>
    <row r="25">
      <c r="A25" s="7">
        <v>23.0</v>
      </c>
      <c r="B25" s="10">
        <f t="shared" si="1"/>
        <v>6</v>
      </c>
      <c r="C25" s="11">
        <f t="shared" si="2"/>
        <v>5</v>
      </c>
      <c r="D25" s="11">
        <f t="shared" si="3"/>
        <v>30000</v>
      </c>
      <c r="E25" s="11">
        <f t="shared" si="4"/>
        <v>133299971</v>
      </c>
    </row>
    <row r="26">
      <c r="A26" s="7">
        <v>24.0</v>
      </c>
      <c r="B26" s="10">
        <f t="shared" si="1"/>
        <v>6</v>
      </c>
      <c r="C26" s="11">
        <f t="shared" si="2"/>
        <v>5</v>
      </c>
      <c r="D26" s="11">
        <f t="shared" si="3"/>
        <v>30000</v>
      </c>
      <c r="E26" s="11">
        <f t="shared" si="4"/>
        <v>176367058</v>
      </c>
    </row>
    <row r="27">
      <c r="A27" s="7">
        <v>25.0</v>
      </c>
      <c r="B27" s="10">
        <f t="shared" si="1"/>
        <v>6</v>
      </c>
      <c r="C27" s="11">
        <f t="shared" si="2"/>
        <v>5</v>
      </c>
      <c r="D27" s="11">
        <f t="shared" si="3"/>
        <v>30000</v>
      </c>
      <c r="E27" s="11">
        <f t="shared" si="4"/>
        <v>229404707</v>
      </c>
    </row>
    <row r="28">
      <c r="A28" s="7">
        <v>26.0</v>
      </c>
      <c r="B28" s="10">
        <f t="shared" si="1"/>
        <v>6</v>
      </c>
      <c r="C28" s="11">
        <f t="shared" si="2"/>
        <v>5</v>
      </c>
      <c r="D28" s="11">
        <f t="shared" si="3"/>
        <v>30000</v>
      </c>
      <c r="E28" s="11">
        <f t="shared" si="4"/>
        <v>294179858</v>
      </c>
    </row>
    <row r="29">
      <c r="A29" s="7">
        <v>27.0</v>
      </c>
      <c r="B29" s="10">
        <f t="shared" si="1"/>
        <v>6</v>
      </c>
      <c r="C29" s="11">
        <f t="shared" si="2"/>
        <v>5</v>
      </c>
      <c r="D29" s="11">
        <f t="shared" si="3"/>
        <v>30000</v>
      </c>
      <c r="E29" s="11">
        <f t="shared" si="4"/>
        <v>372684571</v>
      </c>
    </row>
    <row r="30">
      <c r="A30" s="7">
        <v>28.0</v>
      </c>
      <c r="B30" s="10">
        <f t="shared" si="1"/>
        <v>5</v>
      </c>
      <c r="C30" s="11">
        <f t="shared" si="2"/>
        <v>5</v>
      </c>
      <c r="D30" s="11">
        <f t="shared" si="3"/>
        <v>25000</v>
      </c>
      <c r="E30" s="11">
        <f t="shared" si="4"/>
        <v>2474450</v>
      </c>
    </row>
    <row r="31">
      <c r="A31" s="7">
        <v>29.0</v>
      </c>
      <c r="B31" s="10">
        <f t="shared" si="1"/>
        <v>5</v>
      </c>
      <c r="C31" s="11">
        <f t="shared" si="2"/>
        <v>5</v>
      </c>
      <c r="D31" s="11">
        <f t="shared" si="3"/>
        <v>25000</v>
      </c>
      <c r="E31" s="11">
        <f t="shared" si="4"/>
        <v>5775231</v>
      </c>
    </row>
    <row r="32">
      <c r="A32" s="7">
        <v>30.0</v>
      </c>
      <c r="B32" s="10">
        <f t="shared" si="1"/>
        <v>5</v>
      </c>
      <c r="C32" s="11">
        <f t="shared" si="2"/>
        <v>5</v>
      </c>
      <c r="D32" s="11">
        <f t="shared" si="3"/>
        <v>25000</v>
      </c>
      <c r="E32" s="11">
        <f t="shared" si="4"/>
        <v>9564082</v>
      </c>
    </row>
    <row r="33">
      <c r="A33" s="7">
        <v>31.0</v>
      </c>
      <c r="B33" s="10">
        <f t="shared" si="1"/>
        <v>5</v>
      </c>
      <c r="C33" s="11">
        <f t="shared" si="2"/>
        <v>5</v>
      </c>
      <c r="D33" s="11">
        <f t="shared" si="3"/>
        <v>25000</v>
      </c>
      <c r="E33" s="11">
        <f t="shared" si="4"/>
        <v>13893233</v>
      </c>
    </row>
    <row r="34">
      <c r="A34" s="7">
        <v>32.0</v>
      </c>
      <c r="B34" s="10">
        <f t="shared" si="1"/>
        <v>5</v>
      </c>
      <c r="C34" s="11">
        <f t="shared" si="2"/>
        <v>5</v>
      </c>
      <c r="D34" s="11">
        <f t="shared" si="3"/>
        <v>25000</v>
      </c>
      <c r="E34" s="11">
        <f t="shared" si="4"/>
        <v>18818514</v>
      </c>
    </row>
    <row r="35">
      <c r="A35" s="7">
        <v>33.0</v>
      </c>
      <c r="B35" s="10">
        <f t="shared" si="1"/>
        <v>5</v>
      </c>
      <c r="C35" s="11">
        <f t="shared" si="2"/>
        <v>6</v>
      </c>
      <c r="D35" s="11">
        <f t="shared" si="3"/>
        <v>30000</v>
      </c>
      <c r="E35" s="11">
        <f t="shared" si="4"/>
        <v>24399475</v>
      </c>
    </row>
    <row r="36">
      <c r="A36" s="7">
        <v>34.0</v>
      </c>
      <c r="B36" s="10">
        <f t="shared" si="1"/>
        <v>5</v>
      </c>
      <c r="C36" s="11">
        <f t="shared" si="2"/>
        <v>6</v>
      </c>
      <c r="D36" s="11">
        <f t="shared" si="3"/>
        <v>30000</v>
      </c>
      <c r="E36" s="11">
        <f t="shared" si="4"/>
        <v>30699506</v>
      </c>
    </row>
    <row r="37">
      <c r="A37" s="7">
        <v>35.0</v>
      </c>
      <c r="B37" s="10">
        <f t="shared" si="1"/>
        <v>5</v>
      </c>
      <c r="C37" s="11">
        <f t="shared" si="2"/>
        <v>6</v>
      </c>
      <c r="D37" s="11">
        <f t="shared" si="3"/>
        <v>30000</v>
      </c>
      <c r="E37" s="11">
        <f t="shared" si="4"/>
        <v>37785957</v>
      </c>
    </row>
    <row r="38">
      <c r="A38" s="7">
        <v>36.0</v>
      </c>
      <c r="B38" s="10">
        <f t="shared" si="1"/>
        <v>5</v>
      </c>
      <c r="C38" s="11">
        <f t="shared" si="2"/>
        <v>6</v>
      </c>
      <c r="D38" s="11">
        <f t="shared" si="3"/>
        <v>30000</v>
      </c>
      <c r="E38" s="11">
        <f t="shared" si="4"/>
        <v>45730258</v>
      </c>
    </row>
    <row r="39">
      <c r="A39" s="7">
        <v>37.0</v>
      </c>
      <c r="B39" s="10">
        <f t="shared" si="1"/>
        <v>5</v>
      </c>
      <c r="C39" s="11">
        <f t="shared" si="2"/>
        <v>6</v>
      </c>
      <c r="D39" s="11">
        <f t="shared" si="3"/>
        <v>30000</v>
      </c>
      <c r="E39" s="11">
        <f t="shared" si="4"/>
        <v>54608039</v>
      </c>
    </row>
    <row r="40">
      <c r="A40" s="7">
        <v>38.0</v>
      </c>
      <c r="B40" s="10">
        <f t="shared" si="1"/>
        <v>5</v>
      </c>
      <c r="C40" s="11">
        <f t="shared" si="2"/>
        <v>6</v>
      </c>
      <c r="D40" s="11">
        <f t="shared" si="3"/>
        <v>30000</v>
      </c>
      <c r="E40" s="11">
        <f t="shared" si="4"/>
        <v>64499250</v>
      </c>
    </row>
    <row r="41">
      <c r="A41" s="7">
        <v>39.0</v>
      </c>
      <c r="B41" s="10">
        <f t="shared" si="1"/>
        <v>5</v>
      </c>
      <c r="C41" s="11">
        <f t="shared" si="2"/>
        <v>6</v>
      </c>
      <c r="D41" s="11">
        <f t="shared" si="3"/>
        <v>30000</v>
      </c>
      <c r="E41" s="11">
        <f t="shared" si="4"/>
        <v>75488281</v>
      </c>
    </row>
    <row r="42">
      <c r="A42" s="7">
        <v>40.0</v>
      </c>
      <c r="B42" s="10">
        <f t="shared" si="1"/>
        <v>5</v>
      </c>
      <c r="C42" s="11">
        <f t="shared" si="2"/>
        <v>6</v>
      </c>
      <c r="D42" s="11">
        <f t="shared" si="3"/>
        <v>30000</v>
      </c>
      <c r="E42" s="11">
        <f t="shared" si="4"/>
        <v>87664082</v>
      </c>
    </row>
    <row r="43">
      <c r="A43" s="7">
        <v>41.0</v>
      </c>
      <c r="B43" s="10">
        <f t="shared" si="1"/>
        <v>5</v>
      </c>
      <c r="C43" s="11">
        <f t="shared" si="2"/>
        <v>6</v>
      </c>
      <c r="D43" s="11">
        <f t="shared" si="3"/>
        <v>30000</v>
      </c>
      <c r="E43" s="11">
        <f t="shared" si="4"/>
        <v>101120283</v>
      </c>
    </row>
    <row r="44">
      <c r="A44" s="7">
        <v>42.0</v>
      </c>
      <c r="B44" s="10">
        <f t="shared" si="1"/>
        <v>5</v>
      </c>
      <c r="C44" s="11">
        <f t="shared" si="2"/>
        <v>6</v>
      </c>
      <c r="D44" s="11">
        <f t="shared" si="3"/>
        <v>30000</v>
      </c>
      <c r="E44" s="11">
        <f t="shared" si="4"/>
        <v>115955314</v>
      </c>
    </row>
    <row r="45">
      <c r="A45" s="7">
        <v>43.0</v>
      </c>
      <c r="B45" s="10">
        <f t="shared" si="1"/>
        <v>5</v>
      </c>
      <c r="C45" s="11">
        <f t="shared" si="2"/>
        <v>6</v>
      </c>
      <c r="D45" s="11">
        <f t="shared" si="3"/>
        <v>30000</v>
      </c>
      <c r="E45" s="11">
        <f t="shared" si="4"/>
        <v>132272525</v>
      </c>
    </row>
    <row r="46">
      <c r="A46" s="7">
        <v>44.0</v>
      </c>
      <c r="B46" s="10">
        <f t="shared" si="1"/>
        <v>5</v>
      </c>
      <c r="C46" s="11">
        <f t="shared" si="2"/>
        <v>6</v>
      </c>
      <c r="D46" s="11">
        <f t="shared" si="3"/>
        <v>30000</v>
      </c>
      <c r="E46" s="11">
        <f t="shared" si="4"/>
        <v>150180306</v>
      </c>
    </row>
    <row r="47">
      <c r="A47" s="7">
        <v>45.0</v>
      </c>
      <c r="B47" s="10">
        <f t="shared" si="1"/>
        <v>5</v>
      </c>
      <c r="C47" s="11">
        <f t="shared" si="2"/>
        <v>6</v>
      </c>
      <c r="D47" s="11">
        <f t="shared" si="3"/>
        <v>30000</v>
      </c>
      <c r="E47" s="11">
        <f t="shared" si="4"/>
        <v>169792207</v>
      </c>
    </row>
    <row r="48">
      <c r="A48" s="7">
        <v>46.0</v>
      </c>
      <c r="B48" s="10">
        <f t="shared" si="1"/>
        <v>5</v>
      </c>
      <c r="C48" s="11">
        <f t="shared" si="2"/>
        <v>6</v>
      </c>
      <c r="D48" s="11">
        <f t="shared" si="3"/>
        <v>30000</v>
      </c>
      <c r="E48" s="11">
        <f t="shared" si="4"/>
        <v>191227058</v>
      </c>
    </row>
    <row r="49">
      <c r="A49" s="7">
        <v>47.0</v>
      </c>
      <c r="B49" s="10">
        <f t="shared" si="1"/>
        <v>5</v>
      </c>
      <c r="C49" s="11">
        <f t="shared" si="2"/>
        <v>6</v>
      </c>
      <c r="D49" s="11">
        <f t="shared" si="3"/>
        <v>30000</v>
      </c>
      <c r="E49" s="11">
        <f t="shared" si="4"/>
        <v>214609089</v>
      </c>
    </row>
    <row r="50">
      <c r="A50" s="7">
        <v>48.0</v>
      </c>
      <c r="B50" s="10">
        <f t="shared" si="1"/>
        <v>5</v>
      </c>
      <c r="C50" s="11">
        <f t="shared" si="2"/>
        <v>6</v>
      </c>
      <c r="D50" s="11">
        <f t="shared" si="3"/>
        <v>30000</v>
      </c>
      <c r="E50" s="11">
        <f t="shared" si="4"/>
        <v>240068050</v>
      </c>
    </row>
    <row r="51">
      <c r="A51" s="7">
        <v>49.0</v>
      </c>
      <c r="B51" s="10">
        <f t="shared" si="1"/>
        <v>5</v>
      </c>
      <c r="C51" s="11">
        <f t="shared" si="2"/>
        <v>6</v>
      </c>
      <c r="D51" s="11">
        <f t="shared" si="3"/>
        <v>30000</v>
      </c>
      <c r="E51" s="11">
        <f t="shared" si="4"/>
        <v>267739331</v>
      </c>
    </row>
    <row r="52">
      <c r="A52" s="7">
        <v>50.0</v>
      </c>
      <c r="B52" s="10">
        <f t="shared" si="1"/>
        <v>5</v>
      </c>
      <c r="C52" s="11">
        <f t="shared" si="2"/>
        <v>6</v>
      </c>
      <c r="D52" s="11">
        <f t="shared" si="3"/>
        <v>30000</v>
      </c>
      <c r="E52" s="11">
        <f t="shared" si="4"/>
        <v>297764082</v>
      </c>
    </row>
    <row r="53">
      <c r="A53" s="7">
        <v>51.0</v>
      </c>
      <c r="B53" s="10">
        <f t="shared" si="1"/>
        <v>5</v>
      </c>
      <c r="C53" s="11">
        <f t="shared" si="2"/>
        <v>6</v>
      </c>
      <c r="D53" s="11">
        <f t="shared" si="3"/>
        <v>30000</v>
      </c>
      <c r="E53" s="11">
        <f t="shared" si="4"/>
        <v>330289333</v>
      </c>
    </row>
    <row r="54">
      <c r="A54" s="7">
        <v>52.0</v>
      </c>
      <c r="B54" s="10">
        <f t="shared" si="1"/>
        <v>5</v>
      </c>
      <c r="C54" s="11">
        <f t="shared" si="2"/>
        <v>6</v>
      </c>
      <c r="D54" s="11">
        <f t="shared" si="3"/>
        <v>30000</v>
      </c>
      <c r="E54" s="11">
        <f t="shared" si="4"/>
        <v>365468114</v>
      </c>
    </row>
    <row r="55">
      <c r="A55" s="7">
        <v>53.0</v>
      </c>
      <c r="B55" s="10">
        <f t="shared" si="1"/>
        <v>5</v>
      </c>
      <c r="C55" s="11">
        <f t="shared" si="2"/>
        <v>6</v>
      </c>
      <c r="D55" s="11">
        <f t="shared" si="3"/>
        <v>30000</v>
      </c>
      <c r="E55" s="11">
        <f t="shared" si="4"/>
        <v>403459575</v>
      </c>
    </row>
    <row r="56">
      <c r="A56" s="7">
        <v>54.0</v>
      </c>
      <c r="B56" s="10">
        <f t="shared" si="1"/>
        <v>5</v>
      </c>
      <c r="C56" s="11">
        <f t="shared" si="2"/>
        <v>6</v>
      </c>
      <c r="D56" s="11">
        <f t="shared" si="3"/>
        <v>30000</v>
      </c>
      <c r="E56" s="11">
        <f t="shared" si="4"/>
        <v>444429106</v>
      </c>
    </row>
    <row r="57">
      <c r="A57" s="7">
        <v>55.0</v>
      </c>
      <c r="B57" s="10">
        <f t="shared" si="1"/>
        <v>5</v>
      </c>
      <c r="C57" s="11">
        <f t="shared" si="2"/>
        <v>6</v>
      </c>
      <c r="D57" s="11">
        <f t="shared" si="3"/>
        <v>30000</v>
      </c>
      <c r="E57" s="11">
        <f t="shared" si="4"/>
        <v>488548457</v>
      </c>
    </row>
    <row r="58">
      <c r="A58" s="7">
        <v>56.0</v>
      </c>
      <c r="B58" s="10">
        <f t="shared" si="1"/>
        <v>5</v>
      </c>
      <c r="C58" s="11">
        <f t="shared" si="2"/>
        <v>6</v>
      </c>
      <c r="D58" s="11">
        <f t="shared" si="3"/>
        <v>30000</v>
      </c>
      <c r="E58" s="11">
        <f t="shared" si="4"/>
        <v>535995858</v>
      </c>
    </row>
    <row r="59">
      <c r="A59" s="7">
        <v>57.0</v>
      </c>
      <c r="B59" s="10">
        <f t="shared" si="1"/>
        <v>5</v>
      </c>
      <c r="C59" s="11">
        <f t="shared" si="2"/>
        <v>6</v>
      </c>
      <c r="D59" s="11">
        <f t="shared" si="3"/>
        <v>30000</v>
      </c>
      <c r="E59" s="11">
        <f t="shared" si="4"/>
        <v>586956139</v>
      </c>
    </row>
    <row r="60">
      <c r="A60" s="7">
        <v>58.0</v>
      </c>
      <c r="B60" s="10">
        <f t="shared" si="1"/>
        <v>5</v>
      </c>
      <c r="C60" s="11">
        <f t="shared" si="2"/>
        <v>6</v>
      </c>
      <c r="D60" s="11">
        <f t="shared" si="3"/>
        <v>30000</v>
      </c>
      <c r="E60" s="11">
        <f t="shared" si="4"/>
        <v>641620850</v>
      </c>
    </row>
    <row r="61">
      <c r="A61" s="7">
        <v>59.0</v>
      </c>
      <c r="B61" s="10">
        <f t="shared" si="1"/>
        <v>5</v>
      </c>
      <c r="C61" s="11">
        <f t="shared" si="2"/>
        <v>6</v>
      </c>
      <c r="D61" s="11">
        <f t="shared" si="3"/>
        <v>30000</v>
      </c>
      <c r="E61" s="11">
        <f t="shared" si="4"/>
        <v>700188381</v>
      </c>
    </row>
    <row r="62">
      <c r="A62" s="7">
        <v>60.0</v>
      </c>
      <c r="B62" s="10">
        <f t="shared" si="1"/>
        <v>5</v>
      </c>
      <c r="C62" s="11">
        <f t="shared" si="2"/>
        <v>6</v>
      </c>
      <c r="D62" s="11">
        <f t="shared" si="3"/>
        <v>30000</v>
      </c>
      <c r="E62" s="11">
        <f t="shared" si="4"/>
        <v>762864082</v>
      </c>
    </row>
    <row r="63">
      <c r="A63" s="7">
        <v>61.0</v>
      </c>
      <c r="B63" s="10">
        <f t="shared" si="1"/>
        <v>5</v>
      </c>
      <c r="C63" s="11">
        <f t="shared" si="2"/>
        <v>6</v>
      </c>
      <c r="D63" s="11">
        <f t="shared" si="3"/>
        <v>30000</v>
      </c>
      <c r="E63" s="11">
        <f t="shared" si="4"/>
        <v>829860383</v>
      </c>
    </row>
    <row r="64">
      <c r="A64" s="12">
        <v>62.0</v>
      </c>
      <c r="B64" s="13">
        <f t="shared" si="1"/>
        <v>4</v>
      </c>
      <c r="C64" s="14">
        <f t="shared" si="2"/>
        <v>6</v>
      </c>
      <c r="D64" s="14">
        <f t="shared" si="3"/>
        <v>24000</v>
      </c>
      <c r="E64" s="14">
        <f t="shared" si="4"/>
        <v>40418</v>
      </c>
    </row>
    <row r="65">
      <c r="A65" s="7">
        <v>63.0</v>
      </c>
      <c r="B65" s="10">
        <f t="shared" si="1"/>
        <v>4</v>
      </c>
      <c r="C65" s="11">
        <f t="shared" si="2"/>
        <v>6</v>
      </c>
      <c r="D65" s="11">
        <f t="shared" si="3"/>
        <v>24000</v>
      </c>
      <c r="E65" s="11">
        <f t="shared" si="4"/>
        <v>1017043</v>
      </c>
    </row>
    <row r="66">
      <c r="A66" s="7">
        <v>64.0</v>
      </c>
      <c r="B66" s="10">
        <f t="shared" si="1"/>
        <v>4</v>
      </c>
      <c r="C66" s="11">
        <f t="shared" si="2"/>
        <v>6</v>
      </c>
      <c r="D66" s="11">
        <f t="shared" si="3"/>
        <v>24000</v>
      </c>
      <c r="E66" s="11">
        <f t="shared" si="4"/>
        <v>2041298</v>
      </c>
    </row>
    <row r="67">
      <c r="A67" s="7">
        <v>65.0</v>
      </c>
      <c r="B67" s="10">
        <f t="shared" si="1"/>
        <v>4</v>
      </c>
      <c r="C67" s="11">
        <f t="shared" si="2"/>
        <v>7</v>
      </c>
      <c r="D67" s="11">
        <f t="shared" si="3"/>
        <v>28000</v>
      </c>
      <c r="E67" s="11">
        <f t="shared" si="4"/>
        <v>3114707</v>
      </c>
    </row>
    <row r="68">
      <c r="A68" s="7">
        <v>66.0</v>
      </c>
      <c r="B68" s="10">
        <f t="shared" si="1"/>
        <v>4</v>
      </c>
      <c r="C68" s="11">
        <f t="shared" si="2"/>
        <v>7</v>
      </c>
      <c r="D68" s="11">
        <f t="shared" si="3"/>
        <v>28000</v>
      </c>
      <c r="E68" s="11">
        <f t="shared" si="4"/>
        <v>4238818</v>
      </c>
    </row>
    <row r="69">
      <c r="A69" s="7">
        <v>67.0</v>
      </c>
      <c r="B69" s="10">
        <f t="shared" si="1"/>
        <v>4</v>
      </c>
      <c r="C69" s="11">
        <f t="shared" si="2"/>
        <v>7</v>
      </c>
      <c r="D69" s="11">
        <f t="shared" si="3"/>
        <v>28000</v>
      </c>
      <c r="E69" s="11">
        <f t="shared" si="4"/>
        <v>5415203</v>
      </c>
    </row>
    <row r="70">
      <c r="A70" s="7">
        <v>68.0</v>
      </c>
      <c r="B70" s="10">
        <f t="shared" si="1"/>
        <v>4</v>
      </c>
      <c r="C70" s="11">
        <f t="shared" si="2"/>
        <v>7</v>
      </c>
      <c r="D70" s="11">
        <f t="shared" si="3"/>
        <v>28000</v>
      </c>
      <c r="E70" s="11">
        <f t="shared" si="4"/>
        <v>6645458</v>
      </c>
    </row>
    <row r="71">
      <c r="A71" s="7">
        <v>69.0</v>
      </c>
      <c r="B71" s="10">
        <f t="shared" si="1"/>
        <v>4</v>
      </c>
      <c r="C71" s="11">
        <f t="shared" si="2"/>
        <v>7</v>
      </c>
      <c r="D71" s="11">
        <f t="shared" si="3"/>
        <v>28000</v>
      </c>
      <c r="E71" s="11">
        <f t="shared" si="4"/>
        <v>7931203</v>
      </c>
    </row>
    <row r="72">
      <c r="A72" s="7">
        <v>70.0</v>
      </c>
      <c r="B72" s="10">
        <f t="shared" si="1"/>
        <v>4</v>
      </c>
      <c r="C72" s="11">
        <f t="shared" si="2"/>
        <v>7</v>
      </c>
      <c r="D72" s="11">
        <f t="shared" si="3"/>
        <v>28000</v>
      </c>
      <c r="E72" s="11">
        <f t="shared" si="4"/>
        <v>9274082</v>
      </c>
    </row>
  </sheetData>
  <mergeCells count="1">
    <mergeCell ref="G2:J2"/>
  </mergeCells>
  <drawing r:id="rId1"/>
</worksheet>
</file>